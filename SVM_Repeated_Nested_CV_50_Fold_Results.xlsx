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5cfb59be6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 Fold Results" sheetId="1" r:id="R80ad7c159f074228"/>
    <x:sheet xmlns:r="http://schemas.openxmlformats.org/officeDocument/2006/relationships" name="10 Repeat Summary" sheetId="2" r:id="Rb82428dc73cf49b8"/>
    <x:sheet xmlns:r="http://schemas.openxmlformats.org/officeDocument/2006/relationships" name="Method Notes" sheetId="3" r:id="R073b6afd3ce5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5abf25f9246e2" /><Relationship Type="http://schemas.openxmlformats.org/officeDocument/2006/relationships/theme" Target="/xl/theme/theme1.xml" Id="Rc1a83dae3f6c4c35" /><Relationship Type="http://schemas.openxmlformats.org/officeDocument/2006/relationships/sharedStrings" Target="/xl/sharedStrings.xml" Id="Ra724564fb78e4711" /><Relationship Type="http://schemas.openxmlformats.org/officeDocument/2006/relationships/worksheet" Target="/xl/worksheets/sheet1.xml" Id="R80ad7c159f074228" /><Relationship Type="http://schemas.openxmlformats.org/officeDocument/2006/relationships/worksheet" Target="/xl/worksheets/sheet2.xml" Id="Rb82428dc73cf49b8" /><Relationship Type="http://schemas.openxmlformats.org/officeDocument/2006/relationships/worksheet" Target="/xl/worksheets/sheet3.xml" Id="R073b6afd3ce540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d48ffe9b6544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Outer Macro F1 by Repeat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Mean Macro F1</c:v>
          </c:tx>
          <c:marker>
            <c:symbol val="none"/>
          </c:marker>
          <c:cat>
            <c:strRef>
              <c:f>'10 Repeat Summary'!$A$5:$A$14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'10 Repeat Summary'!$G$5:$G$14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d48ffe9b6544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VMFoldResultsTable" displayName="SVMFoldResultsTable" ref="A4:J54" headerRowCount="1" totalsRowCount="0" totalsRowShown="0">
  <x:tableColumns count="10">
    <x:tableColumn id="1" name="Repeat"/>
    <x:tableColumn id="2" name="Fold"/>
    <x:tableColumn id="3" name="Outer Split Seed"/>
    <x:tableColumn id="4" name="Inner CV Seed"/>
    <x:tableColumn id="5" name="Best C"/>
    <x:tableColumn id="6" name="Best Gamma"/>
    <x:tableColumn id="7" name="Best Inner Macro F1"/>
    <x:tableColumn id="8" name="Outer Accuracy"/>
    <x:tableColumn id="9" name="Outer Macro F1"/>
    <x:tableColumn id="10" name="Proven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VMRepeatSummaryTable" displayName="SVMRepeatSummaryTable" ref="A4:K14" headerRowCount="1" totalsRowCount="0" totalsRowShown="0">
  <x:tableColumns count="11">
    <x:tableColumn id="1" name="Repeat"/>
    <x:tableColumn id="2" name="Fold 1 Macro F1"/>
    <x:tableColumn id="3" name="Fold 2 Macro F1"/>
    <x:tableColumn id="4" name="Fold 3 Macro F1"/>
    <x:tableColumn id="5" name="Fold 4 Macro F1"/>
    <x:tableColumn id="6" name="Fold 5 Macro F1"/>
    <x:tableColumn id="7" name="Mean Macro F1"/>
    <x:tableColumn id="8" name="SD Macro F1"/>
    <x:tableColumn id="9" name="Mean Accuracy"/>
    <x:tableColumn id="10" name="SD Accuracy"/>
    <x:tableColumn id="11" name="Wilcoxon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349786286140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6f340cc982e4380" /><Relationship Type="http://schemas.openxmlformats.org/officeDocument/2006/relationships/table" Target="/xl/tables/table2.xml" Id="Re83c552e6657422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14" hidden="0" customWidth="1"/>
    <x:col min="5" max="5" width="10" hidden="0" customWidth="1"/>
    <x:col min="6" max="6" width="13" hidden="0" customWidth="1"/>
    <x:col min="7" max="7" width="20" hidden="0" customWidth="1"/>
    <x:col min="8" max="8" width="16" hidden="0" customWidth="1"/>
    <x:col min="9" max="9" width="18" hidden="0" customWidth="1"/>
    <x:col min="10" max="10" width="34" hidden="0" customWidth="1"/>
  </x:cols>
  <x:sheetData>
    <x:row r="1">
      <x:c r="A1" s="5" t="str">
        <x:v>HOG–GLCM + SVM — Repeated Nested Cross-Validation Results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2" t="str">
        <x:v>10 repeats × 5 outer folds = 50 outer evaluations; hyperparameters selected by 3-fold inner CV.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20" t="str">
        <x:v>Repeat</x:v>
      </x:c>
      <x:c r="B4" s="20" t="str">
        <x:v>Fold</x:v>
      </x:c>
      <x:c r="C4" s="20" t="str">
        <x:v>Outer Split Seed</x:v>
      </x:c>
      <x:c r="D4" s="20" t="str">
        <x:v>Inner CV Seed</x:v>
      </x:c>
      <x:c r="E4" s="20" t="str">
        <x:v>Best C</x:v>
      </x:c>
      <x:c r="F4" s="20" t="str">
        <x:v>Best Gamma</x:v>
      </x:c>
      <x:c r="G4" s="20" t="str">
        <x:v>Best Inner Macro F1</x:v>
      </x:c>
      <x:c r="H4" s="20" t="str">
        <x:v>Outer Accuracy</x:v>
      </x:c>
      <x:c r="I4" s="20" t="str">
        <x:v>Outer Macro F1</x:v>
      </x:c>
      <x:c r="J4" s="20" t="str">
        <x:v>Provenance</x:v>
      </x:c>
    </x:row>
    <x:row r="5">
      <x:c r="A5" s="26" t="n">
        <x:v>1</x:v>
      </x:c>
      <x:c r="B5" s="26" t="n">
        <x:v>1</x:v>
      </x:c>
      <x:c r="C5" s="26" t="n">
        <x:v>202601</x:v>
      </x:c>
      <x:c r="D5" s="26" t="n">
        <x:v>303101</x:v>
      </x:c>
      <x:c r="E5" s="26" t="n">
        <x:v>10</x:v>
      </x:c>
      <x:c r="F5" s="26" t="str">
        <x:v>scale</x:v>
      </x:c>
      <x:c r="G5" s="30" t="n">
        <x:v>0.885261</x:v>
      </x:c>
      <x:c r="H5" s="30" t="n">
        <x:v>0.919643</x:v>
      </x:c>
      <x:c r="I5" s="30" t="n">
        <x:v>0.919742</x:v>
      </x:c>
      <x:c r="J5" s="32" t="str">
        <x:v>Previously completed validated fold</x:v>
      </x:c>
    </x:row>
    <x:row r="6">
      <x:c r="A6" s="26" t="n">
        <x:v>1</x:v>
      </x:c>
      <x:c r="B6" s="26" t="n">
        <x:v>2</x:v>
      </x:c>
      <x:c r="C6" s="26" t="n">
        <x:v>202601</x:v>
      </x:c>
      <x:c r="D6" s="26" t="n">
        <x:v>303102</x:v>
      </x:c>
      <x:c r="E6" s="26" t="n">
        <x:v>10</x:v>
      </x:c>
      <x:c r="F6" s="26" t="str">
        <x:v>scale</x:v>
      </x:c>
      <x:c r="G6" s="30" t="n">
        <x:v>0.890407</x:v>
      </x:c>
      <x:c r="H6" s="30" t="n">
        <x:v>0.909821</x:v>
      </x:c>
      <x:c r="I6" s="30" t="n">
        <x:v>0.909257</x:v>
      </x:c>
      <x:c r="J6" s="32" t="str">
        <x:v>Full 49-fold resumable run log</x:v>
      </x:c>
    </x:row>
    <x:row r="7">
      <x:c r="A7" s="26" t="n">
        <x:v>1</x:v>
      </x:c>
      <x:c r="B7" s="26" t="n">
        <x:v>3</x:v>
      </x:c>
      <x:c r="C7" s="26" t="n">
        <x:v>202601</x:v>
      </x:c>
      <x:c r="D7" s="26" t="n">
        <x:v>303103</x:v>
      </x:c>
      <x:c r="E7" s="26" t="n">
        <x:v>10</x:v>
      </x:c>
      <x:c r="F7" s="26" t="str">
        <x:v>scale</x:v>
      </x:c>
      <x:c r="G7" s="30" t="n">
        <x:v>0.891878</x:v>
      </x:c>
      <x:c r="H7" s="30" t="n">
        <x:v>0.900893</x:v>
      </x:c>
      <x:c r="I7" s="30" t="n">
        <x:v>0.901108</x:v>
      </x:c>
      <x:c r="J7" s="32" t="str">
        <x:v>Full 49-fold resumable run log</x:v>
      </x:c>
    </x:row>
    <x:row r="8">
      <x:c r="A8" s="26" t="n">
        <x:v>1</x:v>
      </x:c>
      <x:c r="B8" s="26" t="n">
        <x:v>4</x:v>
      </x:c>
      <x:c r="C8" s="26" t="n">
        <x:v>202601</x:v>
      </x:c>
      <x:c r="D8" s="26" t="n">
        <x:v>303104</x:v>
      </x:c>
      <x:c r="E8" s="26" t="n">
        <x:v>10</x:v>
      </x:c>
      <x:c r="F8" s="26" t="str">
        <x:v>scale</x:v>
      </x:c>
      <x:c r="G8" s="30" t="n">
        <x:v>0.885189</x:v>
      </x:c>
      <x:c r="H8" s="30" t="n">
        <x:v>0.930357</x:v>
      </x:c>
      <x:c r="I8" s="30" t="n">
        <x:v>0.930009</x:v>
      </x:c>
      <x:c r="J8" s="32" t="str">
        <x:v>Full 49-fold resumable run log</x:v>
      </x:c>
    </x:row>
    <x:row r="9">
      <x:c r="A9" s="26" t="n">
        <x:v>1</x:v>
      </x:c>
      <x:c r="B9" s="26" t="n">
        <x:v>5</x:v>
      </x:c>
      <x:c r="C9" s="26" t="n">
        <x:v>202601</x:v>
      </x:c>
      <x:c r="D9" s="26" t="n">
        <x:v>303105</x:v>
      </x:c>
      <x:c r="E9" s="26" t="n">
        <x:v>10</x:v>
      </x:c>
      <x:c r="F9" s="26" t="str">
        <x:v>scale</x:v>
      </x:c>
      <x:c r="G9" s="30" t="n">
        <x:v>0.891448</x:v>
      </x:c>
      <x:c r="H9" s="30" t="n">
        <x:v>0.903571</x:v>
      </x:c>
      <x:c r="I9" s="30" t="n">
        <x:v>0.904021</x:v>
      </x:c>
      <x:c r="J9" s="32" t="str">
        <x:v>Full 49-fold resumable run log</x:v>
      </x:c>
    </x:row>
    <x:row r="10">
      <x:c r="A10" s="26" t="n">
        <x:v>2</x:v>
      </x:c>
      <x:c r="B10" s="26" t="n">
        <x:v>1</x:v>
      </x:c>
      <x:c r="C10" s="26" t="n">
        <x:v>202602</x:v>
      </x:c>
      <x:c r="D10" s="26" t="n">
        <x:v>303201</x:v>
      </x:c>
      <x:c r="E10" s="26" t="n">
        <x:v>10</x:v>
      </x:c>
      <x:c r="F10" s="26" t="str">
        <x:v>0.0001</x:v>
      </x:c>
      <x:c r="G10" s="30" t="n">
        <x:v>0.886155</x:v>
      </x:c>
      <x:c r="H10" s="30" t="n">
        <x:v>0.921429</x:v>
      </x:c>
      <x:c r="I10" s="30" t="n">
        <x:v>0.921447</x:v>
      </x:c>
      <x:c r="J10" s="32" t="str">
        <x:v>Full 49-fold resumable run log</x:v>
      </x:c>
    </x:row>
    <x:row r="11">
      <x:c r="A11" s="26" t="n">
        <x:v>2</x:v>
      </x:c>
      <x:c r="B11" s="26" t="n">
        <x:v>2</x:v>
      </x:c>
      <x:c r="C11" s="26" t="n">
        <x:v>202602</x:v>
      </x:c>
      <x:c r="D11" s="26" t="n">
        <x:v>303202</x:v>
      </x:c>
      <x:c r="E11" s="26" t="n">
        <x:v>10</x:v>
      </x:c>
      <x:c r="F11" s="26" t="str">
        <x:v>scale</x:v>
      </x:c>
      <x:c r="G11" s="30" t="n">
        <x:v>0.896391</x:v>
      </x:c>
      <x:c r="H11" s="30" t="n">
        <x:v>0.9</x:v>
      </x:c>
      <x:c r="I11" s="30" t="n">
        <x:v>0.900083</x:v>
      </x:c>
      <x:c r="J11" s="32" t="str">
        <x:v>Full 49-fold resumable run log</x:v>
      </x:c>
    </x:row>
    <x:row r="12">
      <x:c r="A12" s="26" t="n">
        <x:v>2</x:v>
      </x:c>
      <x:c r="B12" s="26" t="n">
        <x:v>3</x:v>
      </x:c>
      <x:c r="C12" s="26" t="n">
        <x:v>202602</x:v>
      </x:c>
      <x:c r="D12" s="26" t="n">
        <x:v>303203</x:v>
      </x:c>
      <x:c r="E12" s="26" t="n">
        <x:v>10</x:v>
      </x:c>
      <x:c r="F12" s="26" t="str">
        <x:v>scale</x:v>
      </x:c>
      <x:c r="G12" s="30" t="n">
        <x:v>0.888132</x:v>
      </x:c>
      <x:c r="H12" s="30" t="n">
        <x:v>0.920536</x:v>
      </x:c>
      <x:c r="I12" s="30" t="n">
        <x:v>0.920464</x:v>
      </x:c>
      <x:c r="J12" s="32" t="str">
        <x:v>Full 49-fold resumable run log</x:v>
      </x:c>
    </x:row>
    <x:row r="13">
      <x:c r="A13" s="26" t="n">
        <x:v>2</x:v>
      </x:c>
      <x:c r="B13" s="26" t="n">
        <x:v>4</x:v>
      </x:c>
      <x:c r="C13" s="26" t="n">
        <x:v>202602</x:v>
      </x:c>
      <x:c r="D13" s="26" t="n">
        <x:v>303204</x:v>
      </x:c>
      <x:c r="E13" s="26" t="n">
        <x:v>10</x:v>
      </x:c>
      <x:c r="F13" s="26" t="str">
        <x:v>scale</x:v>
      </x:c>
      <x:c r="G13" s="30" t="n">
        <x:v>0.88245</x:v>
      </x:c>
      <x:c r="H13" s="30" t="n">
        <x:v>0.911607</x:v>
      </x:c>
      <x:c r="I13" s="30" t="n">
        <x:v>0.911769</x:v>
      </x:c>
      <x:c r="J13" s="32" t="str">
        <x:v>Full 49-fold resumable run log</x:v>
      </x:c>
    </x:row>
    <x:row r="14">
      <x:c r="A14" s="26" t="n">
        <x:v>2</x:v>
      </x:c>
      <x:c r="B14" s="26" t="n">
        <x:v>5</x:v>
      </x:c>
      <x:c r="C14" s="26" t="n">
        <x:v>202602</x:v>
      </x:c>
      <x:c r="D14" s="26" t="n">
        <x:v>303205</x:v>
      </x:c>
      <x:c r="E14" s="26" t="n">
        <x:v>10</x:v>
      </x:c>
      <x:c r="F14" s="26" t="str">
        <x:v>scale</x:v>
      </x:c>
      <x:c r="G14" s="30" t="n">
        <x:v>0.889047</x:v>
      </x:c>
      <x:c r="H14" s="30" t="n">
        <x:v>0.907143</x:v>
      </x:c>
      <x:c r="I14" s="30" t="n">
        <x:v>0.907023</x:v>
      </x:c>
      <x:c r="J14" s="32" t="str">
        <x:v>Full 49-fold resumable run log</x:v>
      </x:c>
    </x:row>
    <x:row r="15">
      <x:c r="A15" s="26" t="n">
        <x:v>3</x:v>
      </x:c>
      <x:c r="B15" s="26" t="n">
        <x:v>1</x:v>
      </x:c>
      <x:c r="C15" s="26" t="n">
        <x:v>202603</x:v>
      </x:c>
      <x:c r="D15" s="26" t="n">
        <x:v>303301</x:v>
      </x:c>
      <x:c r="E15" s="26" t="n">
        <x:v>10</x:v>
      </x:c>
      <x:c r="F15" s="26" t="str">
        <x:v>scale</x:v>
      </x:c>
      <x:c r="G15" s="30" t="n">
        <x:v>0.886312</x:v>
      </x:c>
      <x:c r="H15" s="30" t="n">
        <x:v>0.917857</x:v>
      </x:c>
      <x:c r="I15" s="30" t="n">
        <x:v>0.917982</x:v>
      </x:c>
      <x:c r="J15" s="32" t="str">
        <x:v>Full 49-fold resumable run log</x:v>
      </x:c>
    </x:row>
    <x:row r="16">
      <x:c r="A16" s="26" t="n">
        <x:v>3</x:v>
      </x:c>
      <x:c r="B16" s="26" t="n">
        <x:v>2</x:v>
      </x:c>
      <x:c r="C16" s="26" t="n">
        <x:v>202603</x:v>
      </x:c>
      <x:c r="D16" s="26" t="n">
        <x:v>303302</x:v>
      </x:c>
      <x:c r="E16" s="26" t="n">
        <x:v>10</x:v>
      </x:c>
      <x:c r="F16" s="26" t="str">
        <x:v>0.0001</x:v>
      </x:c>
      <x:c r="G16" s="30" t="n">
        <x:v>0.887024</x:v>
      </x:c>
      <x:c r="H16" s="30" t="n">
        <x:v>0.913393</x:v>
      </x:c>
      <x:c r="I16" s="30" t="n">
        <x:v>0.913089</x:v>
      </x:c>
      <x:c r="J16" s="32" t="str">
        <x:v>Full 49-fold resumable run log</x:v>
      </x:c>
    </x:row>
    <x:row r="17">
      <x:c r="A17" s="26" t="n">
        <x:v>3</x:v>
      </x:c>
      <x:c r="B17" s="26" t="n">
        <x:v>3</x:v>
      </x:c>
      <x:c r="C17" s="26" t="n">
        <x:v>202603</x:v>
      </x:c>
      <x:c r="D17" s="26" t="n">
        <x:v>303303</x:v>
      </x:c>
      <x:c r="E17" s="26" t="n">
        <x:v>10</x:v>
      </x:c>
      <x:c r="F17" s="26" t="str">
        <x:v>scale</x:v>
      </x:c>
      <x:c r="G17" s="30" t="n">
        <x:v>0.887898</x:v>
      </x:c>
      <x:c r="H17" s="30" t="n">
        <x:v>0.917857</x:v>
      </x:c>
      <x:c r="I17" s="30" t="n">
        <x:v>0.918225</x:v>
      </x:c>
      <x:c r="J17" s="32" t="str">
        <x:v>Full 49-fold resumable run log</x:v>
      </x:c>
    </x:row>
    <x:row r="18">
      <x:c r="A18" s="26" t="n">
        <x:v>3</x:v>
      </x:c>
      <x:c r="B18" s="26" t="n">
        <x:v>4</x:v>
      </x:c>
      <x:c r="C18" s="26" t="n">
        <x:v>202603</x:v>
      </x:c>
      <x:c r="D18" s="26" t="n">
        <x:v>303304</x:v>
      </x:c>
      <x:c r="E18" s="26" t="n">
        <x:v>10</x:v>
      </x:c>
      <x:c r="F18" s="26" t="str">
        <x:v>0.0001</x:v>
      </x:c>
      <x:c r="G18" s="30" t="n">
        <x:v>0.89547</x:v>
      </x:c>
      <x:c r="H18" s="30" t="n">
        <x:v>0.9125</x:v>
      </x:c>
      <x:c r="I18" s="30" t="n">
        <x:v>0.911874</x:v>
      </x:c>
      <x:c r="J18" s="32" t="str">
        <x:v>Full 49-fold resumable run log</x:v>
      </x:c>
    </x:row>
    <x:row r="19">
      <x:c r="A19" s="26" t="n">
        <x:v>3</x:v>
      </x:c>
      <x:c r="B19" s="26" t="n">
        <x:v>5</x:v>
      </x:c>
      <x:c r="C19" s="26" t="n">
        <x:v>202603</x:v>
      </x:c>
      <x:c r="D19" s="26" t="n">
        <x:v>303305</x:v>
      </x:c>
      <x:c r="E19" s="26" t="n">
        <x:v>10</x:v>
      </x:c>
      <x:c r="F19" s="26" t="str">
        <x:v>scale</x:v>
      </x:c>
      <x:c r="G19" s="30" t="n">
        <x:v>0.885554</x:v>
      </x:c>
      <x:c r="H19" s="30" t="n">
        <x:v>0.907143</x:v>
      </x:c>
      <x:c r="I19" s="30" t="n">
        <x:v>0.907235</x:v>
      </x:c>
      <x:c r="J19" s="32" t="str">
        <x:v>Full 49-fold resumable run log</x:v>
      </x:c>
    </x:row>
    <x:row r="20">
      <x:c r="A20" s="26" t="n">
        <x:v>4</x:v>
      </x:c>
      <x:c r="B20" s="26" t="n">
        <x:v>1</x:v>
      </x:c>
      <x:c r="C20" s="26" t="n">
        <x:v>202604</x:v>
      </x:c>
      <x:c r="D20" s="26" t="n">
        <x:v>303401</x:v>
      </x:c>
      <x:c r="E20" s="26" t="n">
        <x:v>10</x:v>
      </x:c>
      <x:c r="F20" s="26" t="str">
        <x:v>scale</x:v>
      </x:c>
      <x:c r="G20" s="30" t="n">
        <x:v>0.886688</x:v>
      </x:c>
      <x:c r="H20" s="30" t="n">
        <x:v>0.919643</x:v>
      </x:c>
      <x:c r="I20" s="30" t="n">
        <x:v>0.91974</x:v>
      </x:c>
      <x:c r="J20" s="32" t="str">
        <x:v>Full 49-fold resumable run log</x:v>
      </x:c>
    </x:row>
    <x:row r="21">
      <x:c r="A21" s="26" t="n">
        <x:v>4</x:v>
      </x:c>
      <x:c r="B21" s="26" t="n">
        <x:v>2</x:v>
      </x:c>
      <x:c r="C21" s="26" t="n">
        <x:v>202604</x:v>
      </x:c>
      <x:c r="D21" s="26" t="n">
        <x:v>303402</x:v>
      </x:c>
      <x:c r="E21" s="26" t="n">
        <x:v>10</x:v>
      </x:c>
      <x:c r="F21" s="26" t="str">
        <x:v>scale</x:v>
      </x:c>
      <x:c r="G21" s="30" t="n">
        <x:v>0.889824</x:v>
      </x:c>
      <x:c r="H21" s="30" t="n">
        <x:v>0.9125</x:v>
      </x:c>
      <x:c r="I21" s="30" t="n">
        <x:v>0.912715</x:v>
      </x:c>
      <x:c r="J21" s="32" t="str">
        <x:v>Full 49-fold resumable run log</x:v>
      </x:c>
    </x:row>
    <x:row r="22">
      <x:c r="A22" s="26" t="n">
        <x:v>4</x:v>
      </x:c>
      <x:c r="B22" s="26" t="n">
        <x:v>3</x:v>
      </x:c>
      <x:c r="C22" s="26" t="n">
        <x:v>202604</x:v>
      </x:c>
      <x:c r="D22" s="26" t="n">
        <x:v>303403</x:v>
      </x:c>
      <x:c r="E22" s="26" t="n">
        <x:v>10</x:v>
      </x:c>
      <x:c r="F22" s="26" t="str">
        <x:v>0.0001</x:v>
      </x:c>
      <x:c r="G22" s="30" t="n">
        <x:v>0.89174</x:v>
      </x:c>
      <x:c r="H22" s="30" t="n">
        <x:v>0.908929</x:v>
      </x:c>
      <x:c r="I22" s="30" t="n">
        <x:v>0.908135</x:v>
      </x:c>
      <x:c r="J22" s="32" t="str">
        <x:v>Full 49-fold resumable run log</x:v>
      </x:c>
    </x:row>
    <x:row r="23">
      <x:c r="A23" s="26" t="n">
        <x:v>4</x:v>
      </x:c>
      <x:c r="B23" s="26" t="n">
        <x:v>4</x:v>
      </x:c>
      <x:c r="C23" s="26" t="n">
        <x:v>202604</x:v>
      </x:c>
      <x:c r="D23" s="26" t="n">
        <x:v>303404</x:v>
      </x:c>
      <x:c r="E23" s="26" t="n">
        <x:v>10</x:v>
      </x:c>
      <x:c r="F23" s="26" t="str">
        <x:v>scale</x:v>
      </x:c>
      <x:c r="G23" s="30" t="n">
        <x:v>0.885377</x:v>
      </x:c>
      <x:c r="H23" s="30" t="n">
        <x:v>0.928571</x:v>
      </x:c>
      <x:c r="I23" s="30" t="n">
        <x:v>0.928575</x:v>
      </x:c>
      <x:c r="J23" s="32" t="str">
        <x:v>Full 49-fold resumable run log</x:v>
      </x:c>
    </x:row>
    <x:row r="24">
      <x:c r="A24" s="26" t="n">
        <x:v>4</x:v>
      </x:c>
      <x:c r="B24" s="26" t="n">
        <x:v>5</x:v>
      </x:c>
      <x:c r="C24" s="26" t="n">
        <x:v>202604</x:v>
      </x:c>
      <x:c r="D24" s="26" t="n">
        <x:v>303405</x:v>
      </x:c>
      <x:c r="E24" s="26" t="n">
        <x:v>10</x:v>
      </x:c>
      <x:c r="F24" s="26" t="str">
        <x:v>scale</x:v>
      </x:c>
      <x:c r="G24" s="30" t="n">
        <x:v>0.891518</x:v>
      </x:c>
      <x:c r="H24" s="30" t="n">
        <x:v>0.908036</x:v>
      </x:c>
      <x:c r="I24" s="30" t="n">
        <x:v>0.907985</x:v>
      </x:c>
      <x:c r="J24" s="32" t="str">
        <x:v>Full 49-fold resumable run log</x:v>
      </x:c>
    </x:row>
    <x:row r="25">
      <x:c r="A25" s="26" t="n">
        <x:v>5</x:v>
      </x:c>
      <x:c r="B25" s="26" t="n">
        <x:v>1</x:v>
      </x:c>
      <x:c r="C25" s="26" t="n">
        <x:v>202605</x:v>
      </x:c>
      <x:c r="D25" s="26" t="n">
        <x:v>303501</x:v>
      </x:c>
      <x:c r="E25" s="26" t="n">
        <x:v>10</x:v>
      </x:c>
      <x:c r="F25" s="26" t="str">
        <x:v>scale</x:v>
      </x:c>
      <x:c r="G25" s="30" t="n">
        <x:v>0.894385</x:v>
      </x:c>
      <x:c r="H25" s="30" t="n">
        <x:v>0.901786</x:v>
      </x:c>
      <x:c r="I25" s="30" t="n">
        <x:v>0.902205</x:v>
      </x:c>
      <x:c r="J25" s="32" t="str">
        <x:v>Full 49-fold resumable run log</x:v>
      </x:c>
    </x:row>
    <x:row r="26">
      <x:c r="A26" s="26" t="n">
        <x:v>5</x:v>
      </x:c>
      <x:c r="B26" s="26" t="n">
        <x:v>2</x:v>
      </x:c>
      <x:c r="C26" s="26" t="n">
        <x:v>202605</x:v>
      </x:c>
      <x:c r="D26" s="26" t="n">
        <x:v>303502</x:v>
      </x:c>
      <x:c r="E26" s="26" t="n">
        <x:v>10</x:v>
      </x:c>
      <x:c r="F26" s="26" t="str">
        <x:v>scale</x:v>
      </x:c>
      <x:c r="G26" s="30" t="n">
        <x:v>0.891747</x:v>
      </x:c>
      <x:c r="H26" s="30" t="n">
        <x:v>0.914286</x:v>
      </x:c>
      <x:c r="I26" s="30" t="n">
        <x:v>0.91423</x:v>
      </x:c>
      <x:c r="J26" s="32" t="str">
        <x:v>Full 49-fold resumable run log</x:v>
      </x:c>
    </x:row>
    <x:row r="27">
      <x:c r="A27" s="26" t="n">
        <x:v>5</x:v>
      </x:c>
      <x:c r="B27" s="26" t="n">
        <x:v>3</x:v>
      </x:c>
      <x:c r="C27" s="26" t="n">
        <x:v>202605</x:v>
      </x:c>
      <x:c r="D27" s="26" t="n">
        <x:v>303503</x:v>
      </x:c>
      <x:c r="E27" s="26" t="n">
        <x:v>10</x:v>
      </x:c>
      <x:c r="F27" s="26" t="str">
        <x:v>scale</x:v>
      </x:c>
      <x:c r="G27" s="30" t="n">
        <x:v>0.888527</x:v>
      </x:c>
      <x:c r="H27" s="30" t="n">
        <x:v>0.916964</x:v>
      </x:c>
      <x:c r="I27" s="30" t="n">
        <x:v>0.916677</x:v>
      </x:c>
      <x:c r="J27" s="32" t="str">
        <x:v>Full 49-fold resumable run log</x:v>
      </x:c>
    </x:row>
    <x:row r="28">
      <x:c r="A28" s="26" t="n">
        <x:v>5</x:v>
      </x:c>
      <x:c r="B28" s="26" t="n">
        <x:v>4</x:v>
      </x:c>
      <x:c r="C28" s="26" t="n">
        <x:v>202605</x:v>
      </x:c>
      <x:c r="D28" s="26" t="n">
        <x:v>303504</x:v>
      </x:c>
      <x:c r="E28" s="26" t="n">
        <x:v>10</x:v>
      </x:c>
      <x:c r="F28" s="26" t="str">
        <x:v>scale</x:v>
      </x:c>
      <x:c r="G28" s="30" t="n">
        <x:v>0.885975</x:v>
      </x:c>
      <x:c r="H28" s="30" t="n">
        <x:v>0.91875</x:v>
      </x:c>
      <x:c r="I28" s="30" t="n">
        <x:v>0.918801</x:v>
      </x:c>
      <x:c r="J28" s="32" t="str">
        <x:v>Full 49-fold resumable run log</x:v>
      </x:c>
    </x:row>
    <x:row r="29">
      <x:c r="A29" s="26" t="n">
        <x:v>5</x:v>
      </x:c>
      <x:c r="B29" s="26" t="n">
        <x:v>5</x:v>
      </x:c>
      <x:c r="C29" s="26" t="n">
        <x:v>202605</x:v>
      </x:c>
      <x:c r="D29" s="26" t="n">
        <x:v>303505</x:v>
      </x:c>
      <x:c r="E29" s="26" t="n">
        <x:v>10</x:v>
      </x:c>
      <x:c r="F29" s="26" t="str">
        <x:v>scale</x:v>
      </x:c>
      <x:c r="G29" s="30" t="n">
        <x:v>0.89034</x:v>
      </x:c>
      <x:c r="H29" s="30" t="n">
        <x:v>0.907143</x:v>
      </x:c>
      <x:c r="I29" s="30" t="n">
        <x:v>0.906822</x:v>
      </x:c>
      <x:c r="J29" s="32" t="str">
        <x:v>Full 49-fold resumable run log</x:v>
      </x:c>
    </x:row>
    <x:row r="30">
      <x:c r="A30" s="26" t="n">
        <x:v>6</x:v>
      </x:c>
      <x:c r="B30" s="26" t="n">
        <x:v>1</x:v>
      </x:c>
      <x:c r="C30" s="26" t="n">
        <x:v>202606</x:v>
      </x:c>
      <x:c r="D30" s="26" t="n">
        <x:v>303601</x:v>
      </x:c>
      <x:c r="E30" s="26" t="n">
        <x:v>10</x:v>
      </x:c>
      <x:c r="F30" s="26" t="str">
        <x:v>scale</x:v>
      </x:c>
      <x:c r="G30" s="30" t="n">
        <x:v>0.887037</x:v>
      </x:c>
      <x:c r="H30" s="30" t="n">
        <x:v>0.909821</x:v>
      </x:c>
      <x:c r="I30" s="30" t="n">
        <x:v>0.909723</x:v>
      </x:c>
      <x:c r="J30" s="32" t="str">
        <x:v>Full 49-fold resumable run log</x:v>
      </x:c>
    </x:row>
    <x:row r="31">
      <x:c r="A31" s="26" t="n">
        <x:v>6</x:v>
      </x:c>
      <x:c r="B31" s="26" t="n">
        <x:v>2</x:v>
      </x:c>
      <x:c r="C31" s="26" t="n">
        <x:v>202606</x:v>
      </x:c>
      <x:c r="D31" s="26" t="n">
        <x:v>303602</x:v>
      </x:c>
      <x:c r="E31" s="26" t="n">
        <x:v>10</x:v>
      </x:c>
      <x:c r="F31" s="26" t="str">
        <x:v>scale</x:v>
      </x:c>
      <x:c r="G31" s="30" t="n">
        <x:v>0.886929</x:v>
      </x:c>
      <x:c r="H31" s="30" t="n">
        <x:v>0.907143</x:v>
      </x:c>
      <x:c r="I31" s="30" t="n">
        <x:v>0.907433</x:v>
      </x:c>
      <x:c r="J31" s="32" t="str">
        <x:v>Full 49-fold resumable run log</x:v>
      </x:c>
    </x:row>
    <x:row r="32">
      <x:c r="A32" s="26" t="n">
        <x:v>6</x:v>
      </x:c>
      <x:c r="B32" s="26" t="n">
        <x:v>3</x:v>
      </x:c>
      <x:c r="C32" s="26" t="n">
        <x:v>202606</x:v>
      </x:c>
      <x:c r="D32" s="26" t="n">
        <x:v>303603</x:v>
      </x:c>
      <x:c r="E32" s="26" t="n">
        <x:v>10</x:v>
      </x:c>
      <x:c r="F32" s="26" t="str">
        <x:v>scale</x:v>
      </x:c>
      <x:c r="G32" s="30" t="n">
        <x:v>0.886319</x:v>
      </x:c>
      <x:c r="H32" s="30" t="n">
        <x:v>0.925</x:v>
      </x:c>
      <x:c r="I32" s="30" t="n">
        <x:v>0.924756</x:v>
      </x:c>
      <x:c r="J32" s="32" t="str">
        <x:v>Full 49-fold resumable run log</x:v>
      </x:c>
    </x:row>
    <x:row r="33">
      <x:c r="A33" s="26" t="n">
        <x:v>6</x:v>
      </x:c>
      <x:c r="B33" s="26" t="n">
        <x:v>4</x:v>
      </x:c>
      <x:c r="C33" s="26" t="n">
        <x:v>202606</x:v>
      </x:c>
      <x:c r="D33" s="26" t="n">
        <x:v>303604</x:v>
      </x:c>
      <x:c r="E33" s="26" t="n">
        <x:v>10</x:v>
      </x:c>
      <x:c r="F33" s="26" t="str">
        <x:v>scale</x:v>
      </x:c>
      <x:c r="G33" s="30" t="n">
        <x:v>0.890365</x:v>
      </x:c>
      <x:c r="H33" s="30" t="n">
        <x:v>0.9</x:v>
      </x:c>
      <x:c r="I33" s="30" t="n">
        <x:v>0.900231</x:v>
      </x:c>
      <x:c r="J33" s="32" t="str">
        <x:v>Full 49-fold resumable run log</x:v>
      </x:c>
    </x:row>
    <x:row r="34">
      <x:c r="A34" s="26" t="n">
        <x:v>6</x:v>
      </x:c>
      <x:c r="B34" s="26" t="n">
        <x:v>5</x:v>
      </x:c>
      <x:c r="C34" s="26" t="n">
        <x:v>202606</x:v>
      </x:c>
      <x:c r="D34" s="26" t="n">
        <x:v>303605</x:v>
      </x:c>
      <x:c r="E34" s="26" t="n">
        <x:v>10</x:v>
      </x:c>
      <x:c r="F34" s="26" t="str">
        <x:v>scale</x:v>
      </x:c>
      <x:c r="G34" s="30" t="n">
        <x:v>0.891961</x:v>
      </x:c>
      <x:c r="H34" s="30" t="n">
        <x:v>0.928571</x:v>
      </x:c>
      <x:c r="I34" s="30" t="n">
        <x:v>0.928838</x:v>
      </x:c>
      <x:c r="J34" s="32" t="str">
        <x:v>Full 49-fold resumable run log</x:v>
      </x:c>
    </x:row>
    <x:row r="35">
      <x:c r="A35" s="26" t="n">
        <x:v>7</x:v>
      </x:c>
      <x:c r="B35" s="26" t="n">
        <x:v>1</x:v>
      </x:c>
      <x:c r="C35" s="26" t="n">
        <x:v>202607</x:v>
      </x:c>
      <x:c r="D35" s="26" t="n">
        <x:v>303701</x:v>
      </x:c>
      <x:c r="E35" s="26" t="n">
        <x:v>10</x:v>
      </x:c>
      <x:c r="F35" s="26" t="str">
        <x:v>scale</x:v>
      </x:c>
      <x:c r="G35" s="30" t="n">
        <x:v>0.883804</x:v>
      </x:c>
      <x:c r="H35" s="30" t="n">
        <x:v>0.923214</x:v>
      </x:c>
      <x:c r="I35" s="30" t="n">
        <x:v>0.923039</x:v>
      </x:c>
      <x:c r="J35" s="32" t="str">
        <x:v>Full 49-fold resumable run log</x:v>
      </x:c>
    </x:row>
    <x:row r="36">
      <x:c r="A36" s="26" t="n">
        <x:v>7</x:v>
      </x:c>
      <x:c r="B36" s="26" t="n">
        <x:v>2</x:v>
      </x:c>
      <x:c r="C36" s="26" t="n">
        <x:v>202607</x:v>
      </x:c>
      <x:c r="D36" s="26" t="n">
        <x:v>303702</x:v>
      </x:c>
      <x:c r="E36" s="26" t="n">
        <x:v>10</x:v>
      </x:c>
      <x:c r="F36" s="26" t="str">
        <x:v>scale</x:v>
      </x:c>
      <x:c r="G36" s="30" t="n">
        <x:v>0.894224</x:v>
      </x:c>
      <x:c r="H36" s="30" t="n">
        <x:v>0.899107</x:v>
      </x:c>
      <x:c r="I36" s="30" t="n">
        <x:v>0.898805</x:v>
      </x:c>
      <x:c r="J36" s="32" t="str">
        <x:v>Full 49-fold resumable run log</x:v>
      </x:c>
    </x:row>
    <x:row r="37">
      <x:c r="A37" s="26" t="n">
        <x:v>7</x:v>
      </x:c>
      <x:c r="B37" s="26" t="n">
        <x:v>3</x:v>
      </x:c>
      <x:c r="C37" s="26" t="n">
        <x:v>202607</x:v>
      </x:c>
      <x:c r="D37" s="26" t="n">
        <x:v>303703</x:v>
      </x:c>
      <x:c r="E37" s="26" t="n">
        <x:v>10</x:v>
      </x:c>
      <x:c r="F37" s="26" t="str">
        <x:v>scale</x:v>
      </x:c>
      <x:c r="G37" s="30" t="n">
        <x:v>0.892239</x:v>
      </x:c>
      <x:c r="H37" s="30" t="n">
        <x:v>0.908036</x:v>
      </x:c>
      <x:c r="I37" s="30" t="n">
        <x:v>0.908327</x:v>
      </x:c>
      <x:c r="J37" s="32" t="str">
        <x:v>Full 49-fold resumable run log</x:v>
      </x:c>
    </x:row>
    <x:row r="38">
      <x:c r="A38" s="26" t="n">
        <x:v>7</x:v>
      </x:c>
      <x:c r="B38" s="26" t="n">
        <x:v>4</x:v>
      </x:c>
      <x:c r="C38" s="26" t="n">
        <x:v>202607</x:v>
      </x:c>
      <x:c r="D38" s="26" t="n">
        <x:v>303704</x:v>
      </x:c>
      <x:c r="E38" s="26" t="n">
        <x:v>10</x:v>
      </x:c>
      <x:c r="F38" s="26" t="str">
        <x:v>scale</x:v>
      </x:c>
      <x:c r="G38" s="30" t="n">
        <x:v>0.893963</x:v>
      </x:c>
      <x:c r="H38" s="30" t="n">
        <x:v>0.917857</x:v>
      </x:c>
      <x:c r="I38" s="30" t="n">
        <x:v>0.917246</x:v>
      </x:c>
      <x:c r="J38" s="32" t="str">
        <x:v>Full 49-fold resumable run log</x:v>
      </x:c>
    </x:row>
    <x:row r="39">
      <x:c r="A39" s="26" t="n">
        <x:v>7</x:v>
      </x:c>
      <x:c r="B39" s="26" t="n">
        <x:v>5</x:v>
      </x:c>
      <x:c r="C39" s="26" t="n">
        <x:v>202607</x:v>
      </x:c>
      <x:c r="D39" s="26" t="n">
        <x:v>303705</x:v>
      </x:c>
      <x:c r="E39" s="26" t="n">
        <x:v>10</x:v>
      </x:c>
      <x:c r="F39" s="26" t="str">
        <x:v>scale</x:v>
      </x:c>
      <x:c r="G39" s="30" t="n">
        <x:v>0.888824</x:v>
      </x:c>
      <x:c r="H39" s="30" t="n">
        <x:v>0.919643</x:v>
      </x:c>
      <x:c r="I39" s="30" t="n">
        <x:v>0.91953</x:v>
      </x:c>
      <x:c r="J39" s="32" t="str">
        <x:v>Full 49-fold resumable run log</x:v>
      </x:c>
    </x:row>
    <x:row r="40">
      <x:c r="A40" s="26" t="n">
        <x:v>8</x:v>
      </x:c>
      <x:c r="B40" s="26" t="n">
        <x:v>1</x:v>
      </x:c>
      <x:c r="C40" s="26" t="n">
        <x:v>202608</x:v>
      </x:c>
      <x:c r="D40" s="26" t="n">
        <x:v>303801</x:v>
      </x:c>
      <x:c r="E40" s="26" t="n">
        <x:v>10</x:v>
      </x:c>
      <x:c r="F40" s="26" t="str">
        <x:v>scale</x:v>
      </x:c>
      <x:c r="G40" s="30" t="n">
        <x:v>0.88615</x:v>
      </x:c>
      <x:c r="H40" s="30" t="n">
        <x:v>0.923214</x:v>
      </x:c>
      <x:c r="I40" s="30" t="n">
        <x:v>0.923283</x:v>
      </x:c>
      <x:c r="J40" s="32" t="str">
        <x:v>Full 49-fold resumable run log</x:v>
      </x:c>
    </x:row>
    <x:row r="41">
      <x:c r="A41" s="26" t="n">
        <x:v>8</x:v>
      </x:c>
      <x:c r="B41" s="26" t="n">
        <x:v>2</x:v>
      </x:c>
      <x:c r="C41" s="26" t="n">
        <x:v>202608</x:v>
      </x:c>
      <x:c r="D41" s="26" t="n">
        <x:v>303802</x:v>
      </x:c>
      <x:c r="E41" s="26" t="n">
        <x:v>10</x:v>
      </x:c>
      <x:c r="F41" s="26" t="str">
        <x:v>0.0001</x:v>
      </x:c>
      <x:c r="G41" s="30" t="n">
        <x:v>0.887773</x:v>
      </x:c>
      <x:c r="H41" s="30" t="n">
        <x:v>0.916964</x:v>
      </x:c>
      <x:c r="I41" s="30" t="n">
        <x:v>0.917035</x:v>
      </x:c>
      <x:c r="J41" s="32" t="str">
        <x:v>Full 49-fold resumable run log</x:v>
      </x:c>
    </x:row>
    <x:row r="42">
      <x:c r="A42" s="26" t="n">
        <x:v>8</x:v>
      </x:c>
      <x:c r="B42" s="26" t="n">
        <x:v>3</x:v>
      </x:c>
      <x:c r="C42" s="26" t="n">
        <x:v>202608</x:v>
      </x:c>
      <x:c r="D42" s="26" t="n">
        <x:v>303803</x:v>
      </x:c>
      <x:c r="E42" s="26" t="n">
        <x:v>10</x:v>
      </x:c>
      <x:c r="F42" s="26" t="str">
        <x:v>scale</x:v>
      </x:c>
      <x:c r="G42" s="30" t="n">
        <x:v>0.894591</x:v>
      </x:c>
      <x:c r="H42" s="30" t="n">
        <x:v>0.911607</x:v>
      </x:c>
      <x:c r="I42" s="30" t="n">
        <x:v>0.911318</x:v>
      </x:c>
      <x:c r="J42" s="32" t="str">
        <x:v>Full 49-fold resumable run log</x:v>
      </x:c>
    </x:row>
    <x:row r="43">
      <x:c r="A43" s="26" t="n">
        <x:v>8</x:v>
      </x:c>
      <x:c r="B43" s="26" t="n">
        <x:v>4</x:v>
      </x:c>
      <x:c r="C43" s="26" t="n">
        <x:v>202608</x:v>
      </x:c>
      <x:c r="D43" s="26" t="n">
        <x:v>303804</x:v>
      </x:c>
      <x:c r="E43" s="26" t="n">
        <x:v>10</x:v>
      </x:c>
      <x:c r="F43" s="26" t="str">
        <x:v>scale</x:v>
      </x:c>
      <x:c r="G43" s="30" t="n">
        <x:v>0.887645</x:v>
      </x:c>
      <x:c r="H43" s="30" t="n">
        <x:v>0.908036</x:v>
      </x:c>
      <x:c r="I43" s="30" t="n">
        <x:v>0.907541</x:v>
      </x:c>
      <x:c r="J43" s="32" t="str">
        <x:v>Full 49-fold resumable run log</x:v>
      </x:c>
    </x:row>
    <x:row r="44">
      <x:c r="A44" s="26" t="n">
        <x:v>8</x:v>
      </x:c>
      <x:c r="B44" s="26" t="n">
        <x:v>5</x:v>
      </x:c>
      <x:c r="C44" s="26" t="n">
        <x:v>202608</x:v>
      </x:c>
      <x:c r="D44" s="26" t="n">
        <x:v>303805</x:v>
      </x:c>
      <x:c r="E44" s="26" t="n">
        <x:v>10</x:v>
      </x:c>
      <x:c r="F44" s="26" t="str">
        <x:v>scale</x:v>
      </x:c>
      <x:c r="G44" s="30" t="n">
        <x:v>0.891379</x:v>
      </x:c>
      <x:c r="H44" s="30" t="n">
        <x:v>0.914286</x:v>
      </x:c>
      <x:c r="I44" s="30" t="n">
        <x:v>0.914866</x:v>
      </x:c>
      <x:c r="J44" s="32" t="str">
        <x:v>Full 49-fold resumable run log</x:v>
      </x:c>
    </x:row>
    <x:row r="45">
      <x:c r="A45" s="26" t="n">
        <x:v>9</x:v>
      </x:c>
      <x:c r="B45" s="26" t="n">
        <x:v>1</x:v>
      </x:c>
      <x:c r="C45" s="26" t="n">
        <x:v>202609</x:v>
      </x:c>
      <x:c r="D45" s="26" t="n">
        <x:v>303901</x:v>
      </x:c>
      <x:c r="E45" s="26" t="n">
        <x:v>10</x:v>
      </x:c>
      <x:c r="F45" s="26" t="str">
        <x:v>scale</x:v>
      </x:c>
      <x:c r="G45" s="30" t="n">
        <x:v>0.891694</x:v>
      </x:c>
      <x:c r="H45" s="30" t="n">
        <x:v>0.898214</x:v>
      </x:c>
      <x:c r="I45" s="30" t="n">
        <x:v>0.897865</x:v>
      </x:c>
      <x:c r="J45" s="32" t="str">
        <x:v>Full 49-fold resumable run log</x:v>
      </x:c>
    </x:row>
    <x:row r="46">
      <x:c r="A46" s="26" t="n">
        <x:v>9</x:v>
      </x:c>
      <x:c r="B46" s="26" t="n">
        <x:v>2</x:v>
      </x:c>
      <x:c r="C46" s="26" t="n">
        <x:v>202609</x:v>
      </x:c>
      <x:c r="D46" s="26" t="n">
        <x:v>303902</x:v>
      </x:c>
      <x:c r="E46" s="26" t="n">
        <x:v>10</x:v>
      </x:c>
      <x:c r="F46" s="26" t="str">
        <x:v>scale</x:v>
      </x:c>
      <x:c r="G46" s="30" t="n">
        <x:v>0.888018</x:v>
      </x:c>
      <x:c r="H46" s="30" t="n">
        <x:v>0.910714</x:v>
      </x:c>
      <x:c r="I46" s="30" t="n">
        <x:v>0.91102</x:v>
      </x:c>
      <x:c r="J46" s="32" t="str">
        <x:v>Full 49-fold resumable run log</x:v>
      </x:c>
    </x:row>
    <x:row r="47">
      <x:c r="A47" s="26" t="n">
        <x:v>9</x:v>
      </x:c>
      <x:c r="B47" s="26" t="n">
        <x:v>3</x:v>
      </x:c>
      <x:c r="C47" s="26" t="n">
        <x:v>202609</x:v>
      </x:c>
      <x:c r="D47" s="26" t="n">
        <x:v>303903</x:v>
      </x:c>
      <x:c r="E47" s="26" t="n">
        <x:v>10</x:v>
      </x:c>
      <x:c r="F47" s="26" t="str">
        <x:v>scale</x:v>
      </x:c>
      <x:c r="G47" s="30" t="n">
        <x:v>0.889083</x:v>
      </x:c>
      <x:c r="H47" s="30" t="n">
        <x:v>0.920536</x:v>
      </x:c>
      <x:c r="I47" s="30" t="n">
        <x:v>0.920859</x:v>
      </x:c>
      <x:c r="J47" s="32" t="str">
        <x:v>Full 49-fold resumable run log</x:v>
      </x:c>
    </x:row>
    <x:row r="48">
      <x:c r="A48" s="26" t="n">
        <x:v>9</x:v>
      </x:c>
      <x:c r="B48" s="26" t="n">
        <x:v>4</x:v>
      </x:c>
      <x:c r="C48" s="26" t="n">
        <x:v>202609</x:v>
      </x:c>
      <x:c r="D48" s="26" t="n">
        <x:v>303904</x:v>
      </x:c>
      <x:c r="E48" s="26" t="n">
        <x:v>10</x:v>
      </x:c>
      <x:c r="F48" s="26" t="str">
        <x:v>scale</x:v>
      </x:c>
      <x:c r="G48" s="30" t="n">
        <x:v>0.890899</x:v>
      </x:c>
      <x:c r="H48" s="30" t="n">
        <x:v>0.916071</x:v>
      </x:c>
      <x:c r="I48" s="30" t="n">
        <x:v>0.916106</x:v>
      </x:c>
      <x:c r="J48" s="32" t="str">
        <x:v>Full 49-fold resumable run log</x:v>
      </x:c>
    </x:row>
    <x:row r="49">
      <x:c r="A49" s="26" t="n">
        <x:v>9</x:v>
      </x:c>
      <x:c r="B49" s="26" t="n">
        <x:v>5</x:v>
      </x:c>
      <x:c r="C49" s="26" t="n">
        <x:v>202609</x:v>
      </x:c>
      <x:c r="D49" s="26" t="n">
        <x:v>303905</x:v>
      </x:c>
      <x:c r="E49" s="26" t="n">
        <x:v>10</x:v>
      </x:c>
      <x:c r="F49" s="26" t="str">
        <x:v>scale</x:v>
      </x:c>
      <x:c r="G49" s="30" t="n">
        <x:v>0.889485</x:v>
      </x:c>
      <x:c r="H49" s="30" t="n">
        <x:v>0.921429</x:v>
      </x:c>
      <x:c r="I49" s="30" t="n">
        <x:v>0.921079</x:v>
      </x:c>
      <x:c r="J49" s="32" t="str">
        <x:v>Full 49-fold resumable run log</x:v>
      </x:c>
    </x:row>
    <x:row r="50">
      <x:c r="A50" s="26" t="n">
        <x:v>10</x:v>
      </x:c>
      <x:c r="B50" s="26" t="n">
        <x:v>1</x:v>
      </x:c>
      <x:c r="C50" s="26" t="n">
        <x:v>202610</x:v>
      </x:c>
      <x:c r="D50" s="26" t="n">
        <x:v>304001</x:v>
      </x:c>
      <x:c r="E50" s="26" t="n">
        <x:v>10</x:v>
      </x:c>
      <x:c r="F50" s="26" t="str">
        <x:v>scale</x:v>
      </x:c>
      <x:c r="G50" s="30" t="n">
        <x:v>0.896207</x:v>
      </x:c>
      <x:c r="H50" s="30" t="n">
        <x:v>0.903571</x:v>
      </x:c>
      <x:c r="I50" s="30" t="n">
        <x:v>0.903229</x:v>
      </x:c>
      <x:c r="J50" s="32" t="str">
        <x:v>Full 49-fold resumable run log</x:v>
      </x:c>
    </x:row>
    <x:row r="51">
      <x:c r="A51" s="26" t="n">
        <x:v>10</x:v>
      </x:c>
      <x:c r="B51" s="26" t="n">
        <x:v>2</x:v>
      </x:c>
      <x:c r="C51" s="26" t="n">
        <x:v>202610</x:v>
      </x:c>
      <x:c r="D51" s="26" t="n">
        <x:v>304002</x:v>
      </x:c>
      <x:c r="E51" s="26" t="n">
        <x:v>10</x:v>
      </x:c>
      <x:c r="F51" s="26" t="str">
        <x:v>scale</x:v>
      </x:c>
      <x:c r="G51" s="30" t="n">
        <x:v>0.891368</x:v>
      </x:c>
      <x:c r="H51" s="30" t="n">
        <x:v>0.916071</x:v>
      </x:c>
      <x:c r="I51" s="30" t="n">
        <x:v>0.915881</x:v>
      </x:c>
      <x:c r="J51" s="32" t="str">
        <x:v>Full 49-fold resumable run log</x:v>
      </x:c>
    </x:row>
    <x:row r="52">
      <x:c r="A52" s="26" t="n">
        <x:v>10</x:v>
      </x:c>
      <x:c r="B52" s="26" t="n">
        <x:v>3</x:v>
      </x:c>
      <x:c r="C52" s="26" t="n">
        <x:v>202610</x:v>
      </x:c>
      <x:c r="D52" s="26" t="n">
        <x:v>304003</x:v>
      </x:c>
      <x:c r="E52" s="26" t="n">
        <x:v>10</x:v>
      </x:c>
      <x:c r="F52" s="26" t="str">
        <x:v>scale</x:v>
      </x:c>
      <x:c r="G52" s="30" t="n">
        <x:v>0.889061</x:v>
      </x:c>
      <x:c r="H52" s="30" t="n">
        <x:v>0.917857</x:v>
      </x:c>
      <x:c r="I52" s="30" t="n">
        <x:v>0.918508</x:v>
      </x:c>
      <x:c r="J52" s="32" t="str">
        <x:v>Full 49-fold resumable run log</x:v>
      </x:c>
    </x:row>
    <x:row r="53">
      <x:c r="A53" s="26" t="n">
        <x:v>10</x:v>
      </x:c>
      <x:c r="B53" s="26" t="n">
        <x:v>4</x:v>
      </x:c>
      <x:c r="C53" s="26" t="n">
        <x:v>202610</x:v>
      </x:c>
      <x:c r="D53" s="26" t="n">
        <x:v>304004</x:v>
      </x:c>
      <x:c r="E53" s="26" t="n">
        <x:v>10</x:v>
      </x:c>
      <x:c r="F53" s="26" t="str">
        <x:v>scale</x:v>
      </x:c>
      <x:c r="G53" s="30" t="n">
        <x:v>0.889226</x:v>
      </x:c>
      <x:c r="H53" s="30" t="n">
        <x:v>0.913393</x:v>
      </x:c>
      <x:c r="I53" s="30" t="n">
        <x:v>0.913325</x:v>
      </x:c>
      <x:c r="J53" s="32" t="str">
        <x:v>Full 49-fold resumable run log</x:v>
      </x:c>
    </x:row>
    <x:row r="54">
      <x:c r="A54" s="26" t="n">
        <x:v>10</x:v>
      </x:c>
      <x:c r="B54" s="26" t="n">
        <x:v>5</x:v>
      </x:c>
      <x:c r="C54" s="26" t="n">
        <x:v>202610</x:v>
      </x:c>
      <x:c r="D54" s="26" t="n">
        <x:v>304005</x:v>
      </x:c>
      <x:c r="E54" s="26" t="n">
        <x:v>10</x:v>
      </x:c>
      <x:c r="F54" s="26" t="str">
        <x:v>scale</x:v>
      </x:c>
      <x:c r="G54" s="30" t="n">
        <x:v>0.892122</x:v>
      </x:c>
      <x:c r="H54" s="30" t="n">
        <x:v>0.925</x:v>
      </x:c>
      <x:c r="I54" s="30" t="n">
        <x:v>0.925089</x:v>
      </x:c>
      <x:c r="J54" s="32" t="str">
        <x:v>Full 49-fold resumable run log</x:v>
      </x:c>
    </x:row>
  </x:sheetData>
  <x:mergeCells>
    <x:mergeCell ref="A1:J1"/>
    <x:mergeCell ref="A2:J2"/>
  </x:mergeCells>
  <x:conditionalFormatting sqref="H5:H5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5:I54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a3497862861406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4" t="str">
        <x:v>SVM — Repeat-Level Summary for Statistical Comparison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2" t="str">
        <x:v>Each repeat contributes one statistical observation: the mean of its five outer-fold results.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0" t="str">
        <x:v>Repeat</x:v>
      </x:c>
      <x:c r="B4" s="20" t="str">
        <x:v>Fold 1 Macro F1</x:v>
      </x:c>
      <x:c r="C4" s="20" t="str">
        <x:v>Fold 2 Macro F1</x:v>
      </x:c>
      <x:c r="D4" s="20" t="str">
        <x:v>Fold 3 Macro F1</x:v>
      </x:c>
      <x:c r="E4" s="20" t="str">
        <x:v>Fold 4 Macro F1</x:v>
      </x:c>
      <x:c r="F4" s="20" t="str">
        <x:v>Fold 5 Macro F1</x:v>
      </x:c>
      <x:c r="G4" s="20" t="str">
        <x:v>Mean Macro F1</x:v>
      </x:c>
      <x:c r="H4" s="20" t="str">
        <x:v>SD Macro F1</x:v>
      </x:c>
      <x:c r="I4" s="20" t="str">
        <x:v>Mean Accuracy</x:v>
      </x:c>
      <x:c r="J4" s="20" t="str">
        <x:v>SD Accuracy</x:v>
      </x:c>
      <x:c r="K4" s="20" t="str">
        <x:v>Wilcoxon Value</x:v>
      </x:c>
    </x:row>
    <x:row r="5">
      <x:c r="A5" s="26" t="n">
        <x:v>1</x:v>
      </x:c>
      <x:c r="B5" s="30" t="n">
        <x:f>'50 Fold Results'!I5</x:f>
        <x:v>0.919742</x:v>
      </x:c>
      <x:c r="C5" s="30" t="n">
        <x:f>'50 Fold Results'!I6</x:f>
        <x:v>0.909257</x:v>
      </x:c>
      <x:c r="D5" s="30" t="n">
        <x:f>'50 Fold Results'!I7</x:f>
        <x:v>0.901108</x:v>
      </x:c>
      <x:c r="E5" s="30" t="n">
        <x:f>'50 Fold Results'!I8</x:f>
        <x:v>0.930009</x:v>
      </x:c>
      <x:c r="F5" s="30" t="n">
        <x:f>'50 Fold Results'!I9</x:f>
        <x:v>0.904021</x:v>
      </x:c>
      <x:c r="G5" s="30" t="n">
        <x:f>AVERAGE(B5:F5)</x:f>
        <x:v>0.9128274000000001</x:v>
      </x:c>
      <x:c r="H5" s="30" t="n">
        <x:f>STDEV.S(B5:F5)</x:f>
        <x:v>0.011944285717446634</x:v>
      </x:c>
      <x:c r="I5" s="30" t="n">
        <x:f>AVERAGE('50 Fold Results'!H5,'50 Fold Results'!H6,'50 Fold Results'!H7,'50 Fold Results'!H8,'50 Fold Results'!H9)</x:f>
        <x:v>0.912857</x:v>
      </x:c>
      <x:c r="J5" s="30" t="n">
        <x:f>STDEV.S('50 Fold Results'!H5,'50 Fold Results'!H6,'50 Fold Results'!H7,'50 Fold Results'!H8,'50 Fold Results'!H9)</x:f>
        <x:v>0.012154054714374108</x:v>
      </x:c>
      <x:c r="K5" s="30" t="n">
        <x:f>G5</x:f>
        <x:v>0.9128274000000001</x:v>
      </x:c>
    </x:row>
    <x:row r="6">
      <x:c r="A6" s="26" t="n">
        <x:v>2</x:v>
      </x:c>
      <x:c r="B6" s="30" t="n">
        <x:f>'50 Fold Results'!I10</x:f>
        <x:v>0.921447</x:v>
      </x:c>
      <x:c r="C6" s="30" t="n">
        <x:f>'50 Fold Results'!I11</x:f>
        <x:v>0.900083</x:v>
      </x:c>
      <x:c r="D6" s="30" t="n">
        <x:f>'50 Fold Results'!I12</x:f>
        <x:v>0.920464</x:v>
      </x:c>
      <x:c r="E6" s="30" t="n">
        <x:f>'50 Fold Results'!I13</x:f>
        <x:v>0.911769</x:v>
      </x:c>
      <x:c r="F6" s="30" t="n">
        <x:f>'50 Fold Results'!I14</x:f>
        <x:v>0.907023</x:v>
      </x:c>
      <x:c r="G6" s="30" t="n">
        <x:f>AVERAGE(B6:F6)</x:f>
        <x:v>0.9121572</x:v>
      </x:c>
      <x:c r="H6" s="30" t="n">
        <x:f>STDEV.S(B6:F6)</x:f>
        <x:v>0.009049866363654216</x:v>
      </x:c>
      <x:c r="I6" s="30" t="n">
        <x:f>AVERAGE('50 Fold Results'!H10,'50 Fold Results'!H11,'50 Fold Results'!H12,'50 Fold Results'!H13,'50 Fold Results'!H14)</x:f>
        <x:v>0.912143</x:v>
      </x:c>
      <x:c r="J6" s="30" t="n">
        <x:f>STDEV.S('50 Fold Results'!H10,'50 Fold Results'!H11,'50 Fold Results'!H12,'50 Fold Results'!H13,'50 Fold Results'!H14)</x:f>
        <x:v>0.009074855233005105</x:v>
      </x:c>
      <x:c r="K6" s="30" t="n">
        <x:f>G6</x:f>
        <x:v>0.9121572</x:v>
      </x:c>
    </x:row>
    <x:row r="7">
      <x:c r="A7" s="26" t="n">
        <x:v>3</x:v>
      </x:c>
      <x:c r="B7" s="30" t="n">
        <x:f>'50 Fold Results'!I15</x:f>
        <x:v>0.917982</x:v>
      </x:c>
      <x:c r="C7" s="30" t="n">
        <x:f>'50 Fold Results'!I16</x:f>
        <x:v>0.913089</x:v>
      </x:c>
      <x:c r="D7" s="30" t="n">
        <x:f>'50 Fold Results'!I17</x:f>
        <x:v>0.918225</x:v>
      </x:c>
      <x:c r="E7" s="30" t="n">
        <x:f>'50 Fold Results'!I18</x:f>
        <x:v>0.911874</x:v>
      </x:c>
      <x:c r="F7" s="30" t="n">
        <x:f>'50 Fold Results'!I19</x:f>
        <x:v>0.907235</x:v>
      </x:c>
      <x:c r="G7" s="30" t="n">
        <x:f>AVERAGE(B7:F7)</x:f>
        <x:v>0.9136810000000001</x:v>
      </x:c>
      <x:c r="H7" s="30" t="n">
        <x:f>STDEV.S(B7:F7)</x:f>
        <x:v>0.004591110050957155</x:v>
      </x:c>
      <x:c r="I7" s="30" t="n">
        <x:f>AVERAGE('50 Fold Results'!H15,'50 Fold Results'!H16,'50 Fold Results'!H17,'50 Fold Results'!H18,'50 Fold Results'!H19)</x:f>
        <x:v>0.91375</x:v>
      </x:c>
      <x:c r="J7" s="30" t="n">
        <x:f>STDEV.S('50 Fold Results'!H15,'50 Fold Results'!H16,'50 Fold Results'!H17,'50 Fold Results'!H18,'50 Fold Results'!H19)</x:f>
        <x:v>0.004446270796971328</x:v>
      </x:c>
      <x:c r="K7" s="30" t="n">
        <x:f>G7</x:f>
        <x:v>0.9136810000000001</x:v>
      </x:c>
    </x:row>
    <x:row r="8">
      <x:c r="A8" s="26" t="n">
        <x:v>4</x:v>
      </x:c>
      <x:c r="B8" s="30" t="n">
        <x:f>'50 Fold Results'!I20</x:f>
        <x:v>0.91974</x:v>
      </x:c>
      <x:c r="C8" s="30" t="n">
        <x:f>'50 Fold Results'!I21</x:f>
        <x:v>0.912715</x:v>
      </x:c>
      <x:c r="D8" s="30" t="n">
        <x:f>'50 Fold Results'!I22</x:f>
        <x:v>0.908135</x:v>
      </x:c>
      <x:c r="E8" s="30" t="n">
        <x:f>'50 Fold Results'!I23</x:f>
        <x:v>0.928575</x:v>
      </x:c>
      <x:c r="F8" s="30" t="n">
        <x:f>'50 Fold Results'!I24</x:f>
        <x:v>0.907985</x:v>
      </x:c>
      <x:c r="G8" s="30" t="n">
        <x:f>AVERAGE(B8:F8)</x:f>
        <x:v>0.91543</x:v>
      </x:c>
      <x:c r="H8" s="30" t="n">
        <x:f>STDEV.S(B8:F8)</x:f>
        <x:v>0.008766176475522264</x:v>
      </x:c>
      <x:c r="I8" s="30" t="n">
        <x:f>AVERAGE('50 Fold Results'!H20,'50 Fold Results'!H21,'50 Fold Results'!H22,'50 Fold Results'!H23,'50 Fold Results'!H24)</x:f>
        <x:v>0.9155358</x:v>
      </x:c>
      <x:c r="J8" s="30" t="n">
        <x:f>STDEV.S('50 Fold Results'!H20,'50 Fold Results'!H21,'50 Fold Results'!H22,'50 Fold Results'!H23,'50 Fold Results'!H24)</x:f>
        <x:v>0.008600849068551339</x:v>
      </x:c>
      <x:c r="K8" s="30" t="n">
        <x:f>G8</x:f>
        <x:v>0.91543</x:v>
      </x:c>
    </x:row>
    <x:row r="9">
      <x:c r="A9" s="26" t="n">
        <x:v>5</x:v>
      </x:c>
      <x:c r="B9" s="30" t="n">
        <x:f>'50 Fold Results'!I25</x:f>
        <x:v>0.902205</x:v>
      </x:c>
      <x:c r="C9" s="30" t="n">
        <x:f>'50 Fold Results'!I26</x:f>
        <x:v>0.91423</x:v>
      </x:c>
      <x:c r="D9" s="30" t="n">
        <x:f>'50 Fold Results'!I27</x:f>
        <x:v>0.916677</x:v>
      </x:c>
      <x:c r="E9" s="30" t="n">
        <x:f>'50 Fold Results'!I28</x:f>
        <x:v>0.918801</x:v>
      </x:c>
      <x:c r="F9" s="30" t="n">
        <x:f>'50 Fold Results'!I29</x:f>
        <x:v>0.906822</x:v>
      </x:c>
      <x:c r="G9" s="30" t="n">
        <x:f>AVERAGE(B9:F9)</x:f>
        <x:v>0.9117470000000001</x:v>
      </x:c>
      <x:c r="H9" s="30" t="n">
        <x:f>STDEV.S(B9:F9)</x:f>
        <x:v>0.006991682451313104</x:v>
      </x:c>
      <x:c r="I9" s="30" t="n">
        <x:f>AVERAGE('50 Fold Results'!H25,'50 Fold Results'!H26,'50 Fold Results'!H27,'50 Fold Results'!H28,'50 Fold Results'!H29)</x:f>
        <x:v>0.9117858000000002</x:v>
      </x:c>
      <x:c r="J9" s="30" t="n">
        <x:f>STDEV.S('50 Fold Results'!H25,'50 Fold Results'!H26,'50 Fold Results'!H27,'50 Fold Results'!H28,'50 Fold Results'!H29)</x:f>
        <x:v>0.007125946056489619</x:v>
      </x:c>
      <x:c r="K9" s="30" t="n">
        <x:f>G9</x:f>
        <x:v>0.9117470000000001</x:v>
      </x:c>
    </x:row>
    <x:row r="10">
      <x:c r="A10" s="26" t="n">
        <x:v>6</x:v>
      </x:c>
      <x:c r="B10" s="30" t="n">
        <x:f>'50 Fold Results'!I30</x:f>
        <x:v>0.909723</x:v>
      </x:c>
      <x:c r="C10" s="30" t="n">
        <x:f>'50 Fold Results'!I31</x:f>
        <x:v>0.907433</x:v>
      </x:c>
      <x:c r="D10" s="30" t="n">
        <x:f>'50 Fold Results'!I32</x:f>
        <x:v>0.924756</x:v>
      </x:c>
      <x:c r="E10" s="30" t="n">
        <x:f>'50 Fold Results'!I33</x:f>
        <x:v>0.900231</x:v>
      </x:c>
      <x:c r="F10" s="30" t="n">
        <x:f>'50 Fold Results'!I34</x:f>
        <x:v>0.928838</x:v>
      </x:c>
      <x:c r="G10" s="30" t="n">
        <x:f>AVERAGE(B10:F10)</x:f>
        <x:v>0.9141961999999999</x:v>
      </x:c>
      <x:c r="H10" s="30" t="n">
        <x:f>STDEV.S(B10:F10)</x:f>
        <x:v>0.012110624331552872</x:v>
      </x:c>
      <x:c r="I10" s="30" t="n">
        <x:f>AVERAGE('50 Fold Results'!H30,'50 Fold Results'!H31,'50 Fold Results'!H32,'50 Fold Results'!H33,'50 Fold Results'!H34)</x:f>
        <x:v>0.9141070000000001</x:v>
      </x:c>
      <x:c r="J10" s="30" t="n">
        <x:f>STDEV.S('50 Fold Results'!H30,'50 Fold Results'!H31,'50 Fold Results'!H32,'50 Fold Results'!H33,'50 Fold Results'!H34)</x:f>
        <x:v>0.012183383007194687</x:v>
      </x:c>
      <x:c r="K10" s="30" t="n">
        <x:f>G10</x:f>
        <x:v>0.9141961999999999</x:v>
      </x:c>
    </x:row>
    <x:row r="11">
      <x:c r="A11" s="26" t="n">
        <x:v>7</x:v>
      </x:c>
      <x:c r="B11" s="30" t="n">
        <x:f>'50 Fold Results'!I35</x:f>
        <x:v>0.923039</x:v>
      </x:c>
      <x:c r="C11" s="30" t="n">
        <x:f>'50 Fold Results'!I36</x:f>
        <x:v>0.898805</x:v>
      </x:c>
      <x:c r="D11" s="30" t="n">
        <x:f>'50 Fold Results'!I37</x:f>
        <x:v>0.908327</x:v>
      </x:c>
      <x:c r="E11" s="30" t="n">
        <x:f>'50 Fold Results'!I38</x:f>
        <x:v>0.917246</x:v>
      </x:c>
      <x:c r="F11" s="30" t="n">
        <x:f>'50 Fold Results'!I39</x:f>
        <x:v>0.91953</x:v>
      </x:c>
      <x:c r="G11" s="30" t="n">
        <x:f>AVERAGE(B11:F11)</x:f>
        <x:v>0.9133894</x:v>
      </x:c>
      <x:c r="H11" s="30" t="n">
        <x:f>STDEV.S(B11:F11)</x:f>
        <x:v>0.009798312727199535</x:v>
      </x:c>
      <x:c r="I11" s="30" t="n">
        <x:f>AVERAGE('50 Fold Results'!H35,'50 Fold Results'!H36,'50 Fold Results'!H37,'50 Fold Results'!H38,'50 Fold Results'!H39)</x:f>
        <x:v>0.9135714</x:v>
      </x:c>
      <x:c r="J11" s="30" t="n">
        <x:f>STDEV.S('50 Fold Results'!H35,'50 Fold Results'!H36,'50 Fold Results'!H37,'50 Fold Results'!H38,'50 Fold Results'!H39)</x:f>
        <x:v>0.00984974554493669</x:v>
      </x:c>
      <x:c r="K11" s="30" t="n">
        <x:f>G11</x:f>
        <x:v>0.9133894</x:v>
      </x:c>
    </x:row>
    <x:row r="12">
      <x:c r="A12" s="26" t="n">
        <x:v>8</x:v>
      </x:c>
      <x:c r="B12" s="30" t="n">
        <x:f>'50 Fold Results'!I40</x:f>
        <x:v>0.923283</x:v>
      </x:c>
      <x:c r="C12" s="30" t="n">
        <x:f>'50 Fold Results'!I41</x:f>
        <x:v>0.917035</x:v>
      </x:c>
      <x:c r="D12" s="30" t="n">
        <x:f>'50 Fold Results'!I42</x:f>
        <x:v>0.911318</x:v>
      </x:c>
      <x:c r="E12" s="30" t="n">
        <x:f>'50 Fold Results'!I43</x:f>
        <x:v>0.907541</x:v>
      </x:c>
      <x:c r="F12" s="30" t="n">
        <x:f>'50 Fold Results'!I44</x:f>
        <x:v>0.914866</x:v>
      </x:c>
      <x:c r="G12" s="30" t="n">
        <x:f>AVERAGE(B12:F12)</x:f>
        <x:v>0.9148086</x:v>
      </x:c>
      <x:c r="H12" s="30" t="n">
        <x:f>STDEV.S(B12:F12)</x:f>
        <x:v>0.0059535263751830155</x:v>
      </x:c>
      <x:c r="I12" s="30" t="n">
        <x:f>AVERAGE('50 Fold Results'!H40,'50 Fold Results'!H41,'50 Fold Results'!H42,'50 Fold Results'!H43,'50 Fold Results'!H44)</x:f>
        <x:v>0.9148213999999999</x:v>
      </x:c>
      <x:c r="J12" s="30" t="n">
        <x:f>STDEV.S('50 Fold Results'!H40,'50 Fold Results'!H41,'50 Fold Results'!H42,'50 Fold Results'!H43,'50 Fold Results'!H44)</x:f>
        <x:v>0.005737750935689013</x:v>
      </x:c>
      <x:c r="K12" s="30" t="n">
        <x:f>G12</x:f>
        <x:v>0.9148086</x:v>
      </x:c>
    </x:row>
    <x:row r="13">
      <x:c r="A13" s="26" t="n">
        <x:v>9</x:v>
      </x:c>
      <x:c r="B13" s="30" t="n">
        <x:f>'50 Fold Results'!I45</x:f>
        <x:v>0.897865</x:v>
      </x:c>
      <x:c r="C13" s="30" t="n">
        <x:f>'50 Fold Results'!I46</x:f>
        <x:v>0.91102</x:v>
      </x:c>
      <x:c r="D13" s="30" t="n">
        <x:f>'50 Fold Results'!I47</x:f>
        <x:v>0.920859</x:v>
      </x:c>
      <x:c r="E13" s="30" t="n">
        <x:f>'50 Fold Results'!I48</x:f>
        <x:v>0.916106</x:v>
      </x:c>
      <x:c r="F13" s="30" t="n">
        <x:f>'50 Fold Results'!I49</x:f>
        <x:v>0.921079</x:v>
      </x:c>
      <x:c r="G13" s="30" t="n">
        <x:f>AVERAGE(B13:F13)</x:f>
        <x:v>0.9133858</x:v>
      </x:c>
      <x:c r="H13" s="30" t="n">
        <x:f>STDEV.S(B13:F13)</x:f>
        <x:v>0.009603720305173386</x:v>
      </x:c>
      <x:c r="I13" s="30" t="n">
        <x:f>AVERAGE('50 Fold Results'!H45,'50 Fold Results'!H46,'50 Fold Results'!H47,'50 Fold Results'!H48,'50 Fold Results'!H49)</x:f>
        <x:v>0.9133928000000001</x:v>
      </x:c>
      <x:c r="J13" s="30" t="n">
        <x:f>STDEV.S('50 Fold Results'!H45,'50 Fold Results'!H46,'50 Fold Results'!H47,'50 Fold Results'!H48,'50 Fold Results'!H49)</x:f>
        <x:v>0.009491450242191682</x:v>
      </x:c>
      <x:c r="K13" s="30" t="n">
        <x:f>G13</x:f>
        <x:v>0.9133858</x:v>
      </x:c>
    </x:row>
    <x:row r="14">
      <x:c r="A14" s="26" t="n">
        <x:v>10</x:v>
      </x:c>
      <x:c r="B14" s="30" t="n">
        <x:f>'50 Fold Results'!I50</x:f>
        <x:v>0.903229</x:v>
      </x:c>
      <x:c r="C14" s="30" t="n">
        <x:f>'50 Fold Results'!I51</x:f>
        <x:v>0.915881</x:v>
      </x:c>
      <x:c r="D14" s="30" t="n">
        <x:f>'50 Fold Results'!I52</x:f>
        <x:v>0.918508</x:v>
      </x:c>
      <x:c r="E14" s="30" t="n">
        <x:f>'50 Fold Results'!I53</x:f>
        <x:v>0.913325</x:v>
      </x:c>
      <x:c r="F14" s="30" t="n">
        <x:f>'50 Fold Results'!I54</x:f>
        <x:v>0.925089</x:v>
      </x:c>
      <x:c r="G14" s="30" t="n">
        <x:f>AVERAGE(B14:F14)</x:f>
        <x:v>0.9152064</x:v>
      </x:c>
      <x:c r="H14" s="30" t="n">
        <x:f>STDEV.S(B14:F14)</x:f>
        <x:v>0.00800030010687102</x:v>
      </x:c>
      <x:c r="I14" s="30" t="n">
        <x:f>AVERAGE('50 Fold Results'!H50,'50 Fold Results'!H51,'50 Fold Results'!H52,'50 Fold Results'!H53,'50 Fold Results'!H54)</x:f>
        <x:v>0.9151784000000001</x:v>
      </x:c>
      <x:c r="J14" s="30" t="n">
        <x:f>STDEV.S('50 Fold Results'!H50,'50 Fold Results'!H51,'50 Fold Results'!H52,'50 Fold Results'!H53,'50 Fold Results'!H54)</x:f>
        <x:v>0.007783875114619978</x:v>
      </x:c>
      <x:c r="K14" s="30" t="n">
        <x:f>G14</x:f>
        <x:v>0.9152064</x:v>
      </x:c>
    </x:row>
  </x:sheetData>
  <x:mergeCells>
    <x:mergeCell ref="A1:K1"/>
    <x:mergeCell ref="A2:K2"/>
  </x:mergeCells>
  <x:conditionalFormatting sqref="G5:G1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46f340cc982e4380"/>
  <x:tableParts count="1">
    <x:tablePart xmlns:r="http://schemas.openxmlformats.org/officeDocument/2006/relationships" r:id="Re83c552e665742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8" hidden="0" customWidth="1"/>
  </x:cols>
  <x:sheetData>
    <x:row r="1">
      <x:c r="A1" s="4" t="str">
        <x:v>Method / Provenance Notes</x:v>
      </x:c>
      <x:c r="B1" s="4"/>
    </x:row>
    <x:row r="3">
      <x:c r="A3" s="18" t="str">
        <x:v>Item</x:v>
      </x:c>
      <x:c r="B3" s="18" t="str">
        <x:v>Value</x:v>
      </x:c>
    </x:row>
    <x:row r="4">
      <x:c r="A4" s="32" t="str">
        <x:v>Model</x:v>
      </x:c>
      <x:c r="B4" s="32" t="str">
        <x:v>HOG–GLCM features + RBF SVM</x:v>
      </x:c>
    </x:row>
    <x:row r="5">
      <x:c r="A5" s="32" t="str">
        <x:v>Repeated CV design</x:v>
      </x:c>
      <x:c r="B5" s="32" t="str">
        <x:v>10 repeats × 5 outer folds</x:v>
      </x:c>
    </x:row>
    <x:row r="6">
      <x:c r="A6" s="32" t="str">
        <x:v>Outer fold size</x:v>
      </x:c>
      <x:c r="B6" s="32" t="str">
        <x:v>1,120 images (280 per class)</x:v>
      </x:c>
    </x:row>
    <x:row r="7">
      <x:c r="A7" s="32" t="str">
        <x:v>Outer training size</x:v>
      </x:c>
      <x:c r="B7" s="32" t="str">
        <x:v>4,480 images</x:v>
      </x:c>
    </x:row>
    <x:row r="8">
      <x:c r="A8" s="32" t="str">
        <x:v>Inner tuning</x:v>
      </x:c>
      <x:c r="B8" s="32" t="str">
        <x:v>3-fold stratified CV over 25 SVM C/gamma combinations</x:v>
      </x:c>
    </x:row>
    <x:row r="9">
      <x:c r="A9" s="32" t="str">
        <x:v>Primary fold metric</x:v>
      </x:c>
      <x:c r="B9" s="32" t="str">
        <x:v>Outer macro F1</x:v>
      </x:c>
    </x:row>
    <x:row r="10">
      <x:c r="A10" s="32" t="str">
        <x:v>Repeat-level statistical unit</x:v>
      </x:c>
      <x:c r="B10" s="32" t="str">
        <x:v>Mean of the 5 outer-fold macro-F1 values within each repeat</x:v>
      </x:c>
    </x:row>
    <x:row r="11">
      <x:c r="A11" s="32" t="str">
        <x:v>Wilcoxon input size</x:v>
      </x:c>
      <x:c r="B11" s="32" t="str">
        <x:v>10 paired repeat-level values per model</x:v>
      </x:c>
    </x:row>
    <x:row r="12">
      <x:c r="A12" s="32" t="str">
        <x:v>Repeat 1 / Fold 1</x:v>
      </x:c>
      <x:c r="B12" s="32" t="str">
        <x:v>Previously completed and validated before the 49-fold resumable run</x:v>
      </x:c>
    </x:row>
    <x:row r="13">
      <x:c r="A13" s="32" t="str">
        <x:v>Remaining 49 folds</x:v>
      </x:c>
      <x:c r="B13" s="32" t="str">
        <x:v>Parsed from the completed resumable-run log supplied by the user</x:v>
      </x:c>
    </x:row>
  </x:sheetData>
  <x:mergeCells>
    <x:mergeCell ref="A1:B1"/>
  </x:mergeCells>
  <x:pageMargins left="0.7" right="0.7" top="0.75" bottom="0.75" header="0.3" footer="0.3"/>
</x:worksheet>
</file>